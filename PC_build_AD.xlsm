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ester\Desktop\"/>
    </mc:Choice>
  </mc:AlternateContent>
  <bookViews>
    <workbookView xWindow="0" yWindow="0" windowWidth="14235" windowHeight="8145" activeTab="2"/>
  </bookViews>
  <sheets>
    <sheet name="data" sheetId="1" r:id="rId1"/>
    <sheet name="totals" sheetId="2" r:id="rId2"/>
    <sheet name="history" sheetId="3" r:id="rId3"/>
  </sheets>
  <functionGroups builtInGroupCount="18"/>
  <definedNames>
    <definedName name="_xlnm._FilterDatabase" localSheetId="0" hidden="1">data!$A$1:$E$1</definedName>
  </definedNames>
  <calcPr calcId="152511"/>
  <pivotCaches>
    <pivotCache cacheId="76" r:id="rId4"/>
    <pivotCache cacheId="79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<sst xmlns="http://schemas.openxmlformats.org/spreadsheetml/2006/main" count="345" uniqueCount="68">
  <si>
    <t>Part</t>
  </si>
  <si>
    <t>Price</t>
  </si>
  <si>
    <t>Link</t>
  </si>
  <si>
    <t>Option</t>
  </si>
  <si>
    <t>CPU</t>
  </si>
  <si>
    <t>RAM</t>
  </si>
  <si>
    <t>GPU</t>
  </si>
  <si>
    <t>PSU</t>
  </si>
  <si>
    <t>MB</t>
  </si>
  <si>
    <t>HDD1</t>
  </si>
  <si>
    <t>CASE</t>
  </si>
  <si>
    <t>Name</t>
  </si>
  <si>
    <t>Spaltenbeschriftungen</t>
  </si>
  <si>
    <t>Gesamtergebnis</t>
  </si>
  <si>
    <t>Zeilenbeschriftungen</t>
  </si>
  <si>
    <t>Summe von Price</t>
  </si>
  <si>
    <t>Option 1</t>
  </si>
  <si>
    <t>Date and Time</t>
  </si>
  <si>
    <t>Id</t>
  </si>
  <si>
    <t>(Leer)</t>
  </si>
  <si>
    <t>https://www.e-tec.at/details.php?artnr=287194</t>
  </si>
  <si>
    <t>https://www.e-tec.at/details.php?artnr=286802</t>
  </si>
  <si>
    <t>https://www.e-tec.at/details.php?artnr=212557</t>
  </si>
  <si>
    <t>https://www.e-tec.at/details.php?artnr=290507</t>
  </si>
  <si>
    <t>https://www.e-tec.at/details.php?artnr=256508</t>
  </si>
  <si>
    <t>https://www.e-tec.at/details.php?artnr=296659</t>
  </si>
  <si>
    <t>MSI MPG X570 Gaming Plus</t>
  </si>
  <si>
    <t>AMD Ryzen 7 3800X, 8x 3.90GHz, boxed</t>
  </si>
  <si>
    <t>CORSAIR Vengeance LPX schwarz DIMM Kit 32GB, DDR4-3200,</t>
  </si>
  <si>
    <t>SAPPHIRE Nitro+ Radeon RX 5700 XT 8G, 8GB GDDR6, 2x HDMI,</t>
  </si>
  <si>
    <t>BE QUIET! Straight Power 11 650W Cable Management</t>
  </si>
  <si>
    <t>SEAGATE FireCuda 520 SSD 500GB, M.2 PCIe</t>
  </si>
  <si>
    <t>COOLER</t>
  </si>
  <si>
    <t xml:space="preserve">https://www.e-tec.at/details.php?artnr=259500 </t>
  </si>
  <si>
    <t>SCREEN</t>
  </si>
  <si>
    <t>2020.06.07 01:05</t>
  </si>
  <si>
    <t>BE QUIET! Dark Rock 4</t>
  </si>
  <si>
    <t>2020.06.10 23:52</t>
  </si>
  <si>
    <t>2020.06.13 00:14</t>
  </si>
  <si>
    <t>2020.06.27 23:20</t>
  </si>
  <si>
    <t>2020.06.29 18:31</t>
  </si>
  <si>
    <t>&lt;END&gt;</t>
  </si>
  <si>
    <t>Script Date: 04.07.2020</t>
  </si>
  <si>
    <t>2020.07.04 16:02</t>
  </si>
  <si>
    <t>2020.07.04 16:04</t>
  </si>
  <si>
    <t/>
  </si>
  <si>
    <t>https://www.e-tec.at/details.php?artnr=259500</t>
  </si>
  <si>
    <t>2020.07.04 16:21</t>
  </si>
  <si>
    <t>Motherboard</t>
  </si>
  <si>
    <t>MSI B450M-A Pro Max</t>
  </si>
  <si>
    <t>https://www.e-tec.at/details.php?artnr=288091</t>
  </si>
  <si>
    <t>Prozessor</t>
  </si>
  <si>
    <t>AMD Ryzen 3 3300X, 4x 3.80GHz, boxed</t>
  </si>
  <si>
    <t>https://www.e-tec.at/details.php?artnr=302498</t>
  </si>
  <si>
    <t>G.SKILL Aegis DIMM Kit 16GB, DDR4-3200, CL16-18-18-38</t>
  </si>
  <si>
    <t>https://www.e-tec.at/details.php?artnr=291719</t>
  </si>
  <si>
    <t>Grafikkarte</t>
  </si>
  <si>
    <t>SAPPHIRE Pulse Radeon RX 570 8GD5, 8GB GDDR5</t>
  </si>
  <si>
    <t>https://www.e-tec.at/details.php?artnr=278514</t>
  </si>
  <si>
    <t>Netzteil</t>
  </si>
  <si>
    <t>BE QUIET! System Power 9 400W</t>
  </si>
  <si>
    <t>https://www.e-tec.at/details.php?artnr=257379</t>
  </si>
  <si>
    <t>SSD</t>
  </si>
  <si>
    <t>KINGSTON SSD A2000 500GB M.2 2280 NVMe</t>
  </si>
  <si>
    <t>https://www.e-tec.at/details.php?artnr=289270</t>
  </si>
  <si>
    <t>Case</t>
  </si>
  <si>
    <t>INTER-TECH A-3411 Creek, Glasfenster</t>
  </si>
  <si>
    <t>https://www.e-tec.at/details.php?artnr=300262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</si>
</sst>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&quot;€&quot;"/>
    <numFmt numFmtId="165" formatCode="yyyy/mm/dd\ h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1" fillId="2" borderId="0" xfId="1" applyFont="1"/>
    <xf numFmtId="164" fontId="1" fillId="2" borderId="0" xfId="1" applyNumberFormat="1" applyFont="1"/>
    <xf numFmtId="0" fontId="1" fillId="2" borderId="0" xfId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2"/>
    <xf numFmtId="49" fontId="1" fillId="2" borderId="0" xfId="1" applyNumberFormat="1" applyFont="1" applyAlignment="1">
      <alignment horizontal="left"/>
    </xf>
    <xf numFmtId="49" fontId="1" fillId="2" borderId="0" xfId="1" applyNumberFormat="1" applyFont="1"/>
    <xf numFmtId="49" fontId="0" fillId="0" borderId="0" xfId="0" applyNumberFormat="1"/>
    <xf numFmtId="1" fontId="1" fillId="2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5" fontId="1" fillId="2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/>
    <xf numFmtId="0" fontId="0" fillId="3" borderId="0" xfId="0" applyFill="1"/>
    <xf numFmtId="164" fontId="5" fillId="3" borderId="0" xfId="0" applyNumberFormat="1" applyFont="1" applyFill="1"/>
    <xf numFmtId="164" fontId="6" fillId="0" borderId="0" xfId="0" applyNumberFormat="1" applyFont="1"/>
    <xf numFmtId="0" fontId="1" fillId="4" borderId="0" xfId="1" applyFont="1" applyFill="1"/>
  </cellXfs>
  <cellStyles count="3">
    <cellStyle name="Akzent1" xfId="1" builtinId="29"/>
    <cellStyle name="Link" xfId="2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#,##0.0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[PC_build_AD.xlsm]totals!PivotTable1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totals!$K$1:$K$2</c:f>
              <c:strCache>
                <c:ptCount val="1"/>
                <c:pt idx="0">
                  <c:v>Option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totals!$J$3:$J$12</c:f>
              <c:strCache>
                <c:ptCount val="9"/>
                <c:pt idx="0">
                  <c:v>CASE</c:v>
                </c:pt>
                <c:pt idx="1">
                  <c:v>CPU</c:v>
                </c:pt>
                <c:pt idx="2">
                  <c:v>GPU</c:v>
                </c:pt>
                <c:pt idx="3">
                  <c:v>HDD1</c:v>
                </c:pt>
                <c:pt idx="4">
                  <c:v>MB</c:v>
                </c:pt>
                <c:pt idx="5">
                  <c:v>PSU</c:v>
                </c:pt>
                <c:pt idx="6">
                  <c:v>RAM</c:v>
                </c:pt>
                <c:pt idx="7">
                  <c:v>COOLER</c:v>
                </c:pt>
                <c:pt idx="8">
                  <c:v>SCREEN</c:v>
                </c:pt>
              </c:strCache>
            </c:strRef>
          </c:cat>
          <c:val>
            <c:numRef>
              <c:f>totals!$K$3:$K$12</c:f>
              <c:numCache>
                <c:formatCode>#,##0.00\ "€"</c:formatCode>
                <c:ptCount val="9"/>
                <c:pt idx="0">
                  <c:v>0</c:v>
                </c:pt>
                <c:pt idx="1">
                  <c:v>349</c:v>
                </c:pt>
                <c:pt idx="2">
                  <c:v>463</c:v>
                </c:pt>
                <c:pt idx="3">
                  <c:v>150</c:v>
                </c:pt>
                <c:pt idx="4">
                  <c:v>194.99</c:v>
                </c:pt>
                <c:pt idx="5">
                  <c:v>124</c:v>
                </c:pt>
                <c:pt idx="6">
                  <c:v>161.9</c:v>
                </c:pt>
                <c:pt idx="7">
                  <c:v>63.4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97-4FE3-B95C-ACAD096C0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88402432"/>
        <c:axId val="388400864"/>
      </c:barChart>
      <c:catAx>
        <c:axId val="388402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8400864"/>
        <c:crosses val="autoZero"/>
        <c:auto val="1"/>
        <c:lblAlgn val="ctr"/>
        <c:lblOffset val="100"/>
        <c:noMultiLvlLbl val="0"/>
      </c:catAx>
      <c:valAx>
        <c:axId val="38840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840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[PC_build_AD.xlsm]history!PivotTable2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history!$K$3</c:f>
              <c:strCache>
                <c:ptCount val="1"/>
                <c:pt idx="0">
                  <c:v>Ergebnis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history!$J$4:$J$13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(Leer)</c:v>
                </c:pt>
              </c:strCache>
            </c:strRef>
          </c:cat>
          <c:val>
            <c:numRef>
              <c:f>history!$K$4:$K$13</c:f>
              <c:numCache>
                <c:formatCode>General</c:formatCode>
                <c:ptCount val="9"/>
                <c:pt idx="0">
                  <c:v>1568.04</c:v>
                </c:pt>
                <c:pt idx="1">
                  <c:v>1527.7899999999997</c:v>
                </c:pt>
                <c:pt idx="2">
                  <c:v>1535.7899999999997</c:v>
                </c:pt>
                <c:pt idx="3">
                  <c:v>1509.9399999999998</c:v>
                </c:pt>
                <c:pt idx="4">
                  <c:v>1512.79</c:v>
                </c:pt>
                <c:pt idx="5">
                  <c:v>1506.29</c:v>
                </c:pt>
                <c:pt idx="6">
                  <c:v>1506.29</c:v>
                </c:pt>
                <c:pt idx="7">
                  <c:v>625.09999999999991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399296"/>
        <c:axId val="364802448"/>
      </c:lineChart>
      <c:catAx>
        <c:axId val="38839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4802448"/>
        <c:crosses val="autoZero"/>
        <c:auto val="1"/>
        <c:lblAlgn val="ctr"/>
        <c:lblOffset val="100"/>
        <c:noMultiLvlLbl val="0"/>
      </c:catAx>
      <c:valAx>
        <c:axId val="3648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839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190500</xdr:rowOff>
        </xdr:from>
        <xdr:to>
          <xdr:col>6</xdr:col>
          <xdr:colOff>752475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8C5C1795-A64F-4F86-BCF2-F05A0CCEE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Daten von e-tec.at abrufen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1019174</xdr:colOff>
      <xdr:row>27</xdr:row>
      <xdr:rowOff>71440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23811</xdr:rowOff>
    </xdr:from>
    <xdr:to>
      <xdr:col>20</xdr:col>
      <xdr:colOff>628650</xdr:colOff>
      <xdr:row>22</xdr:row>
      <xdr:rowOff>47624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ster Usero" refreshedDate="44016.681573842594" createdVersion="5" refreshedVersion="5" minRefreshableVersion="3" recordCount="11">
  <cacheSource type="worksheet">
    <worksheetSource ref="A1:D1048576" sheet="data"/>
  </cacheSource>
  <cacheFields count="4">
    <cacheField name="Option" numFmtId="0">
      <sharedItems containsBlank="1" containsMixedTypes="1" containsNumber="1" containsInteger="1" minValue="1" maxValue="3" count="5">
        <s v="Option 1"/>
        <m/>
        <n v="2" u="1"/>
        <n v="1" u="1"/>
        <n v="3" u="1"/>
      </sharedItems>
    </cacheField>
    <cacheField name="Part" numFmtId="0">
      <sharedItems containsBlank="1" count="20">
        <s v="MB"/>
        <s v="CPU"/>
        <s v="RAM"/>
        <s v="GPU"/>
        <s v="PSU"/>
        <s v="HDD1"/>
        <s v="COOLER"/>
        <s v="SCREEN"/>
        <s v="CASE"/>
        <m/>
        <s v="CASE2" u="1"/>
        <s v="OPT" u="1"/>
        <s v="DVD" u="1"/>
        <s v="MISC2" u="1"/>
        <s v="FAN2" u="1"/>
        <s v="MISC1" u="1"/>
        <s v="HDD" u="1"/>
        <s v="FAN1" u="1"/>
        <s v="HDD2" u="1"/>
        <s v="MON" u="1"/>
      </sharedItems>
    </cacheField>
    <cacheField name="Name" numFmtId="0">
      <sharedItems containsBlank="1"/>
    </cacheField>
    <cacheField name="Price" numFmtId="164">
      <sharedItems containsString="0" containsBlank="1" containsNumber="1" minValue="0" maxValue="150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ster Usero" refreshedDate="44016.681573958333" createdVersion="5" refreshedVersion="5" minRefreshableVersion="3" recordCount="57">
  <cacheSource type="worksheet">
    <worksheetSource ref="A1:G1048576" sheet="history"/>
  </cacheSource>
  <cacheFields count="7">
    <cacheField name="Id" numFmtId="1">
      <sharedItems containsString="0" containsBlank="1" containsNumber="1" containsInteger="1" minValue="1" maxValue="11" count="12">
        <n v="1"/>
        <n v="2"/>
        <n v="3"/>
        <n v="4"/>
        <n v="5"/>
        <n v="6"/>
        <n v="7"/>
        <n v="8"/>
        <m/>
        <n v="9" u="1"/>
        <n v="10" u="1"/>
        <n v="11" u="1"/>
      </sharedItems>
    </cacheField>
    <cacheField name="Date and Time" numFmtId="165">
      <sharedItems containsBlank="1"/>
    </cacheField>
    <cacheField name="Option" numFmtId="49">
      <sharedItems containsBlank="1"/>
    </cacheField>
    <cacheField name="Part" numFmtId="49">
      <sharedItems containsBlank="1"/>
    </cacheField>
    <cacheField name="Name" numFmtId="49">
      <sharedItems containsBlank="1"/>
    </cacheField>
    <cacheField name="Price" numFmtId="164">
      <sharedItems containsString="0" containsBlank="1" containsNumber="1" minValue="38.799999999999997" maxValue="496"/>
    </cacheField>
    <cacheField name="Link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x v="0"/>
    <s v="MSI MPG X570 Gaming Plus"/>
    <n v="194.99"/>
  </r>
  <r>
    <x v="0"/>
    <x v="1"/>
    <s v="AMD Ryzen 7 3800X, 8x 3.90GHz, boxed"/>
    <n v="349"/>
  </r>
  <r>
    <x v="0"/>
    <x v="2"/>
    <s v="CORSAIR Vengeance LPX schwarz DIMM Kit 32GB, DDR4-3200,"/>
    <n v="161.9"/>
  </r>
  <r>
    <x v="0"/>
    <x v="3"/>
    <s v="SAPPHIRE Nitro+ Radeon RX 5700 XT 8G, 8GB GDDR6, 2x HDMI,"/>
    <n v="463"/>
  </r>
  <r>
    <x v="0"/>
    <x v="4"/>
    <s v="BE QUIET! Straight Power 11 650W Cable Management"/>
    <n v="124"/>
  </r>
  <r>
    <x v="0"/>
    <x v="5"/>
    <s v="SEAGATE FireCuda 520 SSD 500GB, M.2 PCIe"/>
    <n v="150"/>
  </r>
  <r>
    <x v="0"/>
    <x v="6"/>
    <s v="BE QUIET! Dark Rock 4"/>
    <n v="63.4"/>
  </r>
  <r>
    <x v="0"/>
    <x v="7"/>
    <m/>
    <n v="0"/>
  </r>
  <r>
    <x v="0"/>
    <x v="8"/>
    <m/>
    <n v="0"/>
  </r>
  <r>
    <x v="1"/>
    <x v="9"/>
    <m/>
    <n v="1506.29"/>
  </r>
  <r>
    <x v="1"/>
    <x v="9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">
  <r>
    <x v="0"/>
    <s v="2020.06.07 01:05"/>
    <s v=""/>
    <s v=""/>
    <s v="MSI MPG X570 Gaming Plus"/>
    <n v="194.99"/>
    <s v="https://www.e-tec.at/details.php?artnr=286802"/>
  </r>
  <r>
    <x v="0"/>
    <s v="2020.06.07 01:05"/>
    <s v=""/>
    <s v=""/>
    <s v="AMD Ryzen 7 3800X, 8x 3.90GHz, boxed"/>
    <n v="349"/>
    <s v="https://www.e-tec.at/details.php?artnr=287194"/>
  </r>
  <r>
    <x v="0"/>
    <s v="2020.06.07 01:05"/>
    <s v=""/>
    <s v=""/>
    <s v="CORSAIR Vengeance LPX schwarz DIMM Kit 32GB, DDR4-3200,"/>
    <n v="174.9"/>
    <s v="https://www.e-tec.at/details.php?artnr=212557"/>
  </r>
  <r>
    <x v="0"/>
    <s v="2020.06.07 01:05"/>
    <s v=""/>
    <s v=""/>
    <s v="SAPPHIRE Nitro+ Radeon RX 5700 XT 8G, 8GB GDDR6, 2x HDMI,"/>
    <n v="496"/>
    <s v="https://www.e-tec.at/details.php?artnr=290507"/>
  </r>
  <r>
    <x v="0"/>
    <s v="2020.06.07 01:05"/>
    <s v=""/>
    <s v=""/>
    <s v="BE QUIET! Straight Power 11 650W Cable Management"/>
    <n v="128"/>
    <s v="https://www.e-tec.at/details.php?artnr=256508"/>
  </r>
  <r>
    <x v="0"/>
    <s v="2020.06.07 01:05"/>
    <s v=""/>
    <s v=""/>
    <s v="SEAGATE FireCuda 520 SSD 500GB, M.2 PCIe"/>
    <n v="160.25"/>
    <s v="https://www.e-tec.at/details.php?artnr=296659"/>
  </r>
  <r>
    <x v="0"/>
    <s v="2020.06.07 01:05"/>
    <s v=""/>
    <s v=""/>
    <s v="BE QUIET! Dark Rock 4"/>
    <n v="64.900000000000006"/>
    <s v="https://www.e-tec.at/details.php?artnr=259500 "/>
  </r>
  <r>
    <x v="1"/>
    <s v="2020.06.10 23:52"/>
    <s v=""/>
    <s v=""/>
    <s v="MSI MPG X570 Gaming Plus"/>
    <n v="194.99"/>
    <s v="https://www.e-tec.at/details.php?artnr=286802"/>
  </r>
  <r>
    <x v="1"/>
    <s v="2020.06.10 23:52"/>
    <s v=""/>
    <s v=""/>
    <s v="AMD Ryzen 7 3800X, 8x 3.90GHz, boxed"/>
    <n v="349"/>
    <s v="https://www.e-tec.at/details.php?artnr=287194"/>
  </r>
  <r>
    <x v="1"/>
    <s v="2020.06.10 23:52"/>
    <s v=""/>
    <s v=""/>
    <s v="CORSAIR Vengeance LPX schwarz DIMM Kit 32GB, DDR4-3200,"/>
    <n v="174.9"/>
    <s v="https://www.e-tec.at/details.php?artnr=212557"/>
  </r>
  <r>
    <x v="1"/>
    <s v="2020.06.10 23:52"/>
    <s v=""/>
    <s v=""/>
    <s v="SAPPHIRE Nitro+ Radeon RX 5700 XT 8G, 8GB GDDR6, 2x HDMI,"/>
    <n v="463"/>
    <s v="https://www.e-tec.at/details.php?artnr=290507"/>
  </r>
  <r>
    <x v="1"/>
    <s v="2020.06.10 23:52"/>
    <s v=""/>
    <s v=""/>
    <s v="BE QUIET! Straight Power 11 650W Cable Management"/>
    <n v="122.5"/>
    <s v="https://www.e-tec.at/details.php?artnr=256508"/>
  </r>
  <r>
    <x v="1"/>
    <s v="2020.06.10 23:52"/>
    <s v=""/>
    <s v=""/>
    <s v="SEAGATE FireCuda 520 SSD 500GB, M.2 PCIe"/>
    <n v="159.1"/>
    <s v="https://www.e-tec.at/details.php?artnr=296659"/>
  </r>
  <r>
    <x v="1"/>
    <s v="2020.06.10 23:52"/>
    <s v=""/>
    <s v=""/>
    <s v="BE QUIET! Dark Rock 4"/>
    <n v="64.3"/>
    <s v="https://www.e-tec.at/details.php?artnr=259500 "/>
  </r>
  <r>
    <x v="2"/>
    <s v="2020.06.13 00:14"/>
    <s v=""/>
    <s v=""/>
    <s v="MSI MPG X570 Gaming Plus"/>
    <n v="194.99"/>
    <s v="https://www.e-tec.at/details.php?artnr=286802"/>
  </r>
  <r>
    <x v="2"/>
    <s v="2020.06.13 00:14"/>
    <s v=""/>
    <s v=""/>
    <s v="AMD Ryzen 7 3800X, 8x 3.90GHz, boxed"/>
    <n v="349"/>
    <s v="https://www.e-tec.at/details.php?artnr=287194"/>
  </r>
  <r>
    <x v="2"/>
    <s v="2020.06.13 00:14"/>
    <s v=""/>
    <s v=""/>
    <s v="CORSAIR Vengeance LPX schwarz DIMM Kit 32GB, DDR4-3200,"/>
    <n v="174.9"/>
    <s v="https://www.e-tec.at/details.php?artnr=212557"/>
  </r>
  <r>
    <x v="2"/>
    <s v="2020.06.13 00:14"/>
    <s v=""/>
    <s v=""/>
    <s v="SAPPHIRE Nitro+ Radeon RX 5700 XT 8G, 8GB GDDR6, 2x HDMI,"/>
    <n v="463"/>
    <s v="https://www.e-tec.at/details.php?artnr=290507"/>
  </r>
  <r>
    <x v="2"/>
    <s v="2020.06.13 00:14"/>
    <s v=""/>
    <s v=""/>
    <s v="BE QUIET! Straight Power 11 650W Cable Management"/>
    <n v="131"/>
    <s v="https://www.e-tec.at/details.php?artnr=256508"/>
  </r>
  <r>
    <x v="2"/>
    <s v="2020.06.13 00:14"/>
    <s v=""/>
    <s v=""/>
    <s v="SEAGATE FireCuda 520 SSD 500GB, M.2 PCIe"/>
    <n v="158.6"/>
    <s v="https://www.e-tec.at/details.php?artnr=296659"/>
  </r>
  <r>
    <x v="2"/>
    <s v="2020.06.13 00:14"/>
    <s v=""/>
    <s v=""/>
    <s v="BE QUIET! Dark Rock 4"/>
    <n v="64.3"/>
    <s v="https://www.e-tec.at/details.php?artnr=259500 "/>
  </r>
  <r>
    <x v="3"/>
    <s v="2020.06.27 23:20"/>
    <s v=""/>
    <s v=""/>
    <s v="MSI MPG X570 Gaming Plus"/>
    <n v="194.99"/>
    <s v="https://www.e-tec.at/details.php?artnr=286802"/>
  </r>
  <r>
    <x v="3"/>
    <s v="2020.06.27 23:20"/>
    <s v=""/>
    <s v=""/>
    <s v="AMD Ryzen 7 3800X, 8x 3.90GHz, boxed"/>
    <n v="349"/>
    <s v="https://www.e-tec.at/details.php?artnr=287194"/>
  </r>
  <r>
    <x v="3"/>
    <s v="2020.06.27 23:20"/>
    <s v=""/>
    <s v=""/>
    <s v="CORSAIR Vengeance LPX schwarz DIMM Kit 32GB, DDR4-3200,"/>
    <n v="161.9"/>
    <s v="https://www.e-tec.at/details.php?artnr=212557"/>
  </r>
  <r>
    <x v="3"/>
    <s v="2020.06.27 23:20"/>
    <s v=""/>
    <s v=""/>
    <s v="SAPPHIRE Nitro+ Radeon RX 5700 XT 8G, 8GB GDDR6, 2x HDMI,"/>
    <n v="463"/>
    <s v="https://www.e-tec.at/details.php?artnr=290507"/>
  </r>
  <r>
    <x v="3"/>
    <s v="2020.06.27 23:20"/>
    <s v=""/>
    <s v=""/>
    <s v="BE QUIET! Straight Power 11 650W Cable Management"/>
    <n v="127.6"/>
    <s v="https://www.e-tec.at/details.php?artnr=256508"/>
  </r>
  <r>
    <x v="3"/>
    <s v="2020.06.27 23:20"/>
    <s v=""/>
    <s v=""/>
    <s v="SEAGATE FireCuda 520 SSD 500GB, M.2 PCIe"/>
    <n v="150"/>
    <s v="https://www.e-tec.at/details.php?artnr=296659"/>
  </r>
  <r>
    <x v="3"/>
    <s v="2020.06.27 23:20"/>
    <s v=""/>
    <s v=""/>
    <s v="BE QUIET! Dark Rock 4"/>
    <n v="63.45"/>
    <s v="https://www.e-tec.at/details.php?artnr=259500 "/>
  </r>
  <r>
    <x v="4"/>
    <s v="2020.06.29 18:31"/>
    <s v=""/>
    <s v=""/>
    <s v="MSI MPG X570 Gaming Plus"/>
    <n v="194.99"/>
    <s v="https://www.e-tec.at/details.php?artnr=286802"/>
  </r>
  <r>
    <x v="4"/>
    <s v="2020.06.29 18:31"/>
    <s v=""/>
    <s v=""/>
    <s v="AMD Ryzen 7 3800X, 8x 3.90GHz, boxed"/>
    <n v="349"/>
    <s v="https://www.e-tec.at/details.php?artnr=287194"/>
  </r>
  <r>
    <x v="4"/>
    <s v="2020.06.29 18:31"/>
    <s v=""/>
    <s v=""/>
    <s v="CORSAIR Vengeance LPX schwarz DIMM Kit 32GB, DDR4-3200,"/>
    <n v="161.9"/>
    <s v="https://www.e-tec.at/details.php?artnr=212557"/>
  </r>
  <r>
    <x v="4"/>
    <s v="2020.06.29 18:31"/>
    <s v=""/>
    <s v=""/>
    <s v="SAPPHIRE Nitro+ Radeon RX 5700 XT 8G, 8GB GDDR6, 2x HDMI,"/>
    <n v="463"/>
    <s v="https://www.e-tec.at/details.php?artnr=290507"/>
  </r>
  <r>
    <x v="4"/>
    <s v="2020.06.29 18:31"/>
    <s v=""/>
    <s v=""/>
    <s v="BE QUIET! Straight Power 11 650W Cable Management"/>
    <n v="129"/>
    <s v="https://www.e-tec.at/details.php?artnr=256508"/>
  </r>
  <r>
    <x v="4"/>
    <s v="2020.06.29 18:31"/>
    <s v=""/>
    <s v=""/>
    <s v="SEAGATE FireCuda 520 SSD 500GB, M.2 PCIe"/>
    <n v="150"/>
    <s v="https://www.e-tec.at/details.php?artnr=296659"/>
  </r>
  <r>
    <x v="4"/>
    <s v="2020.06.29 18:31"/>
    <s v=""/>
    <s v=""/>
    <s v="BE QUIET! Dark Rock 4"/>
    <n v="64.900000000000006"/>
    <s v="https://www.e-tec.at/details.php?artnr=259500 "/>
  </r>
  <r>
    <x v="5"/>
    <s v="2020.07.04 16:02"/>
    <s v=""/>
    <s v=""/>
    <s v="MSI MPG X570 Gaming Plus"/>
    <n v="194.99"/>
    <s v="https://www.e-tec.at/details.php?artnr=286802"/>
  </r>
  <r>
    <x v="5"/>
    <s v="2020.07.04 16:02"/>
    <s v=""/>
    <s v=""/>
    <s v="AMD Ryzen 7 3800X, 8x 3.90GHz, boxed"/>
    <n v="349"/>
    <s v="https://www.e-tec.at/details.php?artnr=287194"/>
  </r>
  <r>
    <x v="5"/>
    <s v="2020.07.04 16:02"/>
    <s v=""/>
    <s v=""/>
    <s v="CORSAIR Vengeance LPX schwarz DIMM Kit 32GB, DDR4-3200,"/>
    <n v="161.9"/>
    <s v="https://www.e-tec.at/details.php?artnr=212557"/>
  </r>
  <r>
    <x v="5"/>
    <s v="2020.07.04 16:02"/>
    <s v=""/>
    <s v=""/>
    <s v="SAPPHIRE Nitro+ Radeon RX 5700 XT 8G, 8GB GDDR6, 2x HDMI,"/>
    <n v="463"/>
    <s v="https://www.e-tec.at/details.php?artnr=290507"/>
  </r>
  <r>
    <x v="5"/>
    <s v="2020.07.04 16:02"/>
    <s v=""/>
    <s v=""/>
    <s v="BE QUIET! Straight Power 11 650W Cable Management"/>
    <n v="124"/>
    <s v="https://www.e-tec.at/details.php?artnr=256508"/>
  </r>
  <r>
    <x v="5"/>
    <s v="2020.07.04 16:02"/>
    <s v=""/>
    <s v=""/>
    <s v="SEAGATE FireCuda 520 SSD 500GB, M.2 PCIe"/>
    <n v="150"/>
    <s v="https://www.e-tec.at/details.php?artnr=296659"/>
  </r>
  <r>
    <x v="5"/>
    <s v="2020.07.04 16:02"/>
    <s v=""/>
    <s v=""/>
    <s v="BE QUIET! Dark Rock 4"/>
    <n v="63.4"/>
    <s v="https://www.e-tec.at/details.php?artnr=259500 "/>
  </r>
  <r>
    <x v="6"/>
    <s v="2020.07.04 16:04"/>
    <s v=""/>
    <s v=""/>
    <s v="MSI MPG X570 Gaming Plus"/>
    <n v="194.99"/>
    <s v="https://www.e-tec.at/details.php?artnr=286802"/>
  </r>
  <r>
    <x v="6"/>
    <s v="2020.07.04 16:04"/>
    <s v=""/>
    <s v=""/>
    <s v="AMD Ryzen 7 3800X, 8x 3.90GHz, boxed"/>
    <n v="349"/>
    <s v="https://www.e-tec.at/details.php?artnr=287194"/>
  </r>
  <r>
    <x v="6"/>
    <s v="2020.07.04 16:04"/>
    <s v=""/>
    <s v=""/>
    <s v="CORSAIR Vengeance LPX schwarz DIMM Kit 32GB, DDR4-3200,"/>
    <n v="161.9"/>
    <s v="https://www.e-tec.at/details.php?artnr=212557"/>
  </r>
  <r>
    <x v="6"/>
    <s v="2020.07.04 16:04"/>
    <s v=""/>
    <s v=""/>
    <s v="SAPPHIRE Nitro+ Radeon RX 5700 XT 8G, 8GB GDDR6, 2x HDMI,"/>
    <n v="463"/>
    <s v="https://www.e-tec.at/details.php?artnr=290507"/>
  </r>
  <r>
    <x v="6"/>
    <s v="2020.07.04 16:04"/>
    <s v=""/>
    <s v=""/>
    <s v="BE QUIET! Straight Power 11 650W Cable Management"/>
    <n v="124"/>
    <s v="https://www.e-tec.at/details.php?artnr=256508"/>
  </r>
  <r>
    <x v="6"/>
    <s v="2020.07.04 16:04"/>
    <s v=""/>
    <s v=""/>
    <s v="SEAGATE FireCuda 520 SSD 500GB, M.2 PCIe"/>
    <n v="150"/>
    <s v="https://www.e-tec.at/details.php?artnr=296659"/>
  </r>
  <r>
    <x v="6"/>
    <s v="2020.07.04 16:04"/>
    <s v=""/>
    <s v=""/>
    <s v="BE QUIET! Dark Rock 4"/>
    <n v="63.4"/>
    <s v="https://www.e-tec.at/details.php?artnr=259500 "/>
  </r>
  <r>
    <x v="7"/>
    <s v="2020.07.04 16:21"/>
    <s v="Option 1"/>
    <s v="Motherboard"/>
    <s v="MSI B450M-A Pro Max"/>
    <n v="71.7"/>
    <s v="https://www.e-tec.at/details.php?artnr=288091"/>
  </r>
  <r>
    <x v="7"/>
    <s v="2020.07.04 16:21"/>
    <s v="Option 1"/>
    <s v="Prozessor"/>
    <s v="AMD Ryzen 3 3300X, 4x 3.80GHz, boxed"/>
    <n v="159"/>
    <s v="https://www.e-tec.at/details.php?artnr=302498"/>
  </r>
  <r>
    <x v="7"/>
    <s v="2020.07.04 16:21"/>
    <s v="Option 1"/>
    <s v="RAM"/>
    <s v="G.SKILL Aegis DIMM Kit 16GB, DDR4-3200, CL16-18-18-38"/>
    <n v="67.900000000000006"/>
    <s v="https://www.e-tec.at/details.php?artnr=291719"/>
  </r>
  <r>
    <x v="7"/>
    <s v="2020.07.04 16:21"/>
    <s v="Option 1"/>
    <s v="Grafikkarte"/>
    <s v="SAPPHIRE Pulse Radeon RX 570 8GD5, 8GB GDDR5"/>
    <n v="169.9"/>
    <s v="https://www.e-tec.at/details.php?artnr=278514"/>
  </r>
  <r>
    <x v="7"/>
    <s v="2020.07.04 16:21"/>
    <s v="Option 1"/>
    <s v="Netzteil"/>
    <s v="BE QUIET! System Power 9 400W"/>
    <n v="45.9"/>
    <s v="https://www.e-tec.at/details.php?artnr=257379"/>
  </r>
  <r>
    <x v="7"/>
    <s v="2020.07.04 16:21"/>
    <s v="Option 1"/>
    <s v="SSD"/>
    <s v="KINGSTON SSD A2000 500GB M.2 2280 NVMe"/>
    <n v="71.900000000000006"/>
    <s v="https://www.e-tec.at/details.php?artnr=289270"/>
  </r>
  <r>
    <x v="7"/>
    <s v="2020.07.04 16:21"/>
    <s v="Option 1"/>
    <s v="Case"/>
    <s v="INTER-TECH A-3411 Creek, Glasfenster"/>
    <n v="38.799999999999997"/>
    <s v="https://www.e-tec.at/details.php?artnr=300262"/>
  </r>
  <r>
    <x v="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 chartFormat="13">
  <location ref="J1:L12" firstHeaderRow="1" firstDataRow="2" firstDataCol="1"/>
  <pivotFields count="4">
    <pivotField axis="axisCol" showAll="0">
      <items count="6">
        <item h="1" m="1" x="3"/>
        <item h="1" m="1" x="2"/>
        <item h="1" x="1"/>
        <item h="1" m="1" x="4"/>
        <item x="0"/>
        <item t="default"/>
      </items>
    </pivotField>
    <pivotField axis="axisRow" showAll="0">
      <items count="21">
        <item x="8"/>
        <item x="1"/>
        <item m="1" x="12"/>
        <item m="1" x="17"/>
        <item m="1" x="14"/>
        <item x="3"/>
        <item m="1" x="16"/>
        <item x="5"/>
        <item m="1" x="18"/>
        <item x="0"/>
        <item m="1" x="15"/>
        <item m="1" x="13"/>
        <item x="4"/>
        <item x="2"/>
        <item x="9"/>
        <item m="1" x="10"/>
        <item m="1" x="11"/>
        <item m="1" x="19"/>
        <item x="6"/>
        <item x="7"/>
        <item t="default"/>
      </items>
    </pivotField>
    <pivotField showAll="0"/>
    <pivotField dataField="1" showAll="0"/>
  </pivotFields>
  <rowFields count="1">
    <field x="1"/>
  </rowFields>
  <rowItems count="10">
    <i>
      <x/>
    </i>
    <i>
      <x v="1"/>
    </i>
    <i>
      <x v="5"/>
    </i>
    <i>
      <x v="7"/>
    </i>
    <i>
      <x v="9"/>
    </i>
    <i>
      <x v="12"/>
    </i>
    <i>
      <x v="13"/>
    </i>
    <i>
      <x v="18"/>
    </i>
    <i>
      <x v="19"/>
    </i>
    <i t="grand">
      <x/>
    </i>
  </rowItems>
  <colFields count="1">
    <field x="0"/>
  </colFields>
  <colItems count="2">
    <i>
      <x v="4"/>
    </i>
    <i t="grand">
      <x/>
    </i>
  </colItems>
  <dataFields count="1">
    <dataField name="Summe von Price" fld="3" baseField="0" baseItem="0" numFmtId="164"/>
  </dataFields>
  <formats count="1">
    <format dxfId="2">
      <pivotArea outline="0" collapsedLevelsAreSubtotals="1" fieldPosition="0"/>
    </format>
  </formats>
  <chartFormats count="21"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79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 chartFormat="2">
  <location ref="J3:K13" firstHeaderRow="1" firstDataRow="1" firstDataCol="1"/>
  <pivotFields count="7">
    <pivotField axis="axisRow" multipleItemSelectionAllowed="1" showAll="0">
      <items count="13">
        <item x="0"/>
        <item x="1"/>
        <item x="2"/>
        <item x="3"/>
        <item x="4"/>
        <item x="5"/>
        <item x="6"/>
        <item x="7"/>
        <item m="1" x="9"/>
        <item m="1" x="10"/>
        <item m="1" x="11"/>
        <item x="8"/>
        <item t="default"/>
      </items>
    </pivotField>
    <pivotField showAll="0" sortType="ascending"/>
    <pivotField showAll="0"/>
    <pivotField showAll="0"/>
    <pivotField showAll="0"/>
    <pivotField dataField="1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1"/>
    </i>
    <i t="grand">
      <x/>
    </i>
  </rowItems>
  <colItems count="1">
    <i/>
  </colItems>
  <dataFields count="1">
    <dataField name="Summe von Pric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ww.e-tec.at/details.php?artnr=212557" TargetMode="External"/><Relationship Id="rId7" Type="http://schemas.openxmlformats.org/officeDocument/2006/relationships/hyperlink" Target="https://www.e-tec.at/details.php?artnr=259500" TargetMode="External"/><Relationship Id="rId2" Type="http://schemas.openxmlformats.org/officeDocument/2006/relationships/hyperlink" Target="https://www.e-tec.at/details.php?artnr=286802" TargetMode="External"/><Relationship Id="rId1" Type="http://schemas.openxmlformats.org/officeDocument/2006/relationships/hyperlink" Target="https://www.e-tec.at/details.php?artnr=287194" TargetMode="External"/><Relationship Id="rId6" Type="http://schemas.openxmlformats.org/officeDocument/2006/relationships/hyperlink" Target="https://www.e-tec.at/details.php?artnr=296659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www.e-tec.at/details.php?artnr=256508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www.e-tec.at/details.php?artnr=290507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11"/>
  <sheetViews>
    <sheetView topLeftCell="B1" zoomScaleNormal="100" workbookViewId="0">
      <selection activeCell="G1" sqref="G1"/>
    </sheetView>
  </sheetViews>
  <sheetFormatPr baseColWidth="10" defaultRowHeight="15" x14ac:dyDescent="0.25"/>
  <cols>
    <col min="1" max="1" width="11.42578125" style="1"/>
    <col min="2" max="2" width="8" bestFit="1" customWidth="1"/>
    <col min="3" max="3" width="56" bestFit="1" customWidth="1"/>
    <col min="4" max="4" width="13.7109375" style="2" customWidth="1"/>
    <col min="5" max="5" width="49.85546875" bestFit="1" customWidth="1"/>
  </cols>
  <sheetData>
    <row r="1" spans="1:7" s="3" customFormat="1" x14ac:dyDescent="0.25">
      <c r="A1" s="5" t="s">
        <v>3</v>
      </c>
      <c r="B1" s="3" t="s">
        <v>0</v>
      </c>
      <c r="C1" s="3" t="s">
        <v>11</v>
      </c>
      <c r="D1" s="4" t="s">
        <v>1</v>
      </c>
      <c r="E1" s="3" t="s">
        <v>2</v>
      </c>
      <c r="F1" s="20" t="s">
        <v>42</v>
      </c>
      <c r="G1" s="20"/>
    </row>
    <row r="2" spans="1:7" x14ac:dyDescent="0.25">
      <c r="A2" s="1" t="s">
        <v>16</v>
      </c>
      <c r="B2" t="s">
        <v>8</v>
      </c>
      <c r="C2" s="17" t="s">
        <v>26</v>
      </c>
      <c r="D2" s="18">
        <v>194.99</v>
      </c>
      <c r="E2" s="8" t="s">
        <v>21</v>
      </c>
    </row>
    <row r="3" spans="1:7" x14ac:dyDescent="0.25">
      <c r="A3" s="1" t="s">
        <v>16</v>
      </c>
      <c r="B3" t="s">
        <v>4</v>
      </c>
      <c r="C3" s="17" t="s">
        <v>27</v>
      </c>
      <c r="D3" s="18">
        <v>349</v>
      </c>
      <c r="E3" s="8" t="s">
        <v>20</v>
      </c>
    </row>
    <row r="4" spans="1:7" x14ac:dyDescent="0.25">
      <c r="A4" s="1" t="s">
        <v>16</v>
      </c>
      <c r="B4" t="s">
        <v>5</v>
      </c>
      <c r="C4" s="17" t="s">
        <v>28</v>
      </c>
      <c r="D4" s="18">
        <v>161.9</v>
      </c>
      <c r="E4" s="8" t="s">
        <v>22</v>
      </c>
    </row>
    <row r="5" spans="1:7" x14ac:dyDescent="0.25">
      <c r="A5" s="1" t="s">
        <v>16</v>
      </c>
      <c r="B5" t="s">
        <v>6</v>
      </c>
      <c r="C5" s="17" t="s">
        <v>29</v>
      </c>
      <c r="D5" s="18">
        <v>463</v>
      </c>
      <c r="E5" s="8" t="s">
        <v>23</v>
      </c>
    </row>
    <row r="6" spans="1:7" x14ac:dyDescent="0.25">
      <c r="A6" s="1" t="s">
        <v>16</v>
      </c>
      <c r="B6" t="s">
        <v>7</v>
      </c>
      <c r="C6" s="17" t="s">
        <v>30</v>
      </c>
      <c r="D6" s="18">
        <v>124</v>
      </c>
      <c r="E6" s="8" t="s">
        <v>24</v>
      </c>
    </row>
    <row r="7" spans="1:7" x14ac:dyDescent="0.25">
      <c r="A7" s="1" t="s">
        <v>16</v>
      </c>
      <c r="B7" t="s">
        <v>9</v>
      </c>
      <c r="C7" s="17" t="s">
        <v>31</v>
      </c>
      <c r="D7" s="18">
        <v>150</v>
      </c>
      <c r="E7" s="8" t="s">
        <v>25</v>
      </c>
    </row>
    <row r="8" spans="1:7" x14ac:dyDescent="0.25">
      <c r="A8" s="1" t="s">
        <v>16</v>
      </c>
      <c r="B8" t="s">
        <v>32</v>
      </c>
      <c r="C8" s="17" t="s">
        <v>36</v>
      </c>
      <c r="D8" s="18">
        <v>63.4</v>
      </c>
      <c r="E8" s="8" t="s">
        <v>46</v>
      </c>
    </row>
    <row r="9" spans="1:7" x14ac:dyDescent="0.25">
      <c r="A9" s="1" t="s">
        <v>16</v>
      </c>
      <c r="B9" t="s">
        <v>34</v>
      </c>
      <c r="C9" s="17"/>
      <c r="D9" s="18">
        <v>0</v>
      </c>
      <c r="E9" s="8"/>
    </row>
    <row r="10" spans="1:7" x14ac:dyDescent="0.25">
      <c r="A10" s="1" t="s">
        <v>16</v>
      </c>
      <c r="B10" t="s">
        <v>10</v>
      </c>
      <c r="C10" s="17"/>
      <c r="D10" s="18">
        <v>0</v>
      </c>
    </row>
    <row r="11" spans="1:7" x14ac:dyDescent="0.25">
      <c r="D11" s="19">
        <f>SUM(D2:D10)</f>
        <v>1506.29</v>
      </c>
      <c r="E11" t="s">
        <v>41</v>
      </c>
    </row>
  </sheetData>
  <autoFilter ref="A1:E1"/>
  <conditionalFormatting sqref="D12:D1048576 D1:D10">
    <cfRule type="cellIs" dxfId="1" priority="12" operator="equal">
      <formula>"x"</formula>
    </cfRule>
  </conditionalFormatting>
  <hyperlinks>
    <hyperlink ref="E3" r:id="rId1"/>
    <hyperlink ref="E2" r:id="rId2"/>
    <hyperlink ref="E4" r:id="rId3"/>
    <hyperlink ref="E5" r:id="rId4"/>
    <hyperlink ref="E6" r:id="rId5"/>
    <hyperlink ref="E7" r:id="rId6"/>
    <hyperlink ref="E8" r:id="rId7"/>
  </hyperlinks>
  <pageMargins left="0.7" right="0.7" top="0.78740157499999996" bottom="0.78740157499999996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alculateList">
                <anchor moveWithCells="1">
                  <from>
                    <xdr:col>5</xdr:col>
                    <xdr:colOff>9525</xdr:colOff>
                    <xdr:row>0</xdr:row>
                    <xdr:rowOff>190500</xdr:rowOff>
                  </from>
                  <to>
                    <xdr:col>6</xdr:col>
                    <xdr:colOff>752475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J1:L12"/>
  <sheetViews>
    <sheetView workbookViewId="0">
      <selection activeCell="J4" sqref="J4"/>
    </sheetView>
  </sheetViews>
  <sheetFormatPr baseColWidth="10" defaultRowHeight="15" x14ac:dyDescent="0.25"/>
  <cols>
    <col min="5" max="5" width="22.42578125" bestFit="1" customWidth="1"/>
    <col min="6" max="6" width="23.7109375" customWidth="1"/>
    <col min="7" max="7" width="8.5703125" bestFit="1" customWidth="1"/>
    <col min="8" max="9" width="15.5703125" customWidth="1"/>
    <col min="10" max="10" width="22.42578125" bestFit="1" customWidth="1"/>
    <col min="11" max="11" width="23.7109375" bestFit="1" customWidth="1"/>
    <col min="12" max="13" width="15.5703125" bestFit="1" customWidth="1"/>
    <col min="14" max="16" width="15.5703125" customWidth="1"/>
    <col min="17" max="17" width="13.7109375" customWidth="1"/>
    <col min="18" max="18" width="7.5703125" customWidth="1"/>
    <col min="19" max="19" width="2" customWidth="1"/>
    <col min="20" max="20" width="13.7109375" customWidth="1"/>
    <col min="21" max="21" width="6.85546875" customWidth="1"/>
    <col min="22" max="22" width="2" customWidth="1"/>
    <col min="23" max="23" width="13" customWidth="1"/>
    <col min="24" max="24" width="6.7109375" customWidth="1"/>
    <col min="25" max="25" width="2" customWidth="1"/>
    <col min="26" max="26" width="12.85546875" customWidth="1"/>
    <col min="27" max="27" width="7.7109375" customWidth="1"/>
    <col min="28" max="28" width="2" customWidth="1"/>
    <col min="29" max="29" width="13.85546875" customWidth="1"/>
    <col min="30" max="30" width="7.7109375" customWidth="1"/>
    <col min="31" max="31" width="2" customWidth="1"/>
    <col min="32" max="32" width="13.85546875" customWidth="1"/>
    <col min="33" max="33" width="5.85546875" customWidth="1"/>
    <col min="34" max="34" width="2" customWidth="1"/>
    <col min="35" max="35" width="12" customWidth="1"/>
    <col min="36" max="36" width="8.42578125" customWidth="1"/>
    <col min="37" max="37" width="2" customWidth="1"/>
    <col min="38" max="38" width="14.5703125" customWidth="1"/>
    <col min="39" max="39" width="8.42578125" customWidth="1"/>
    <col min="40" max="40" width="2" customWidth="1"/>
    <col min="41" max="41" width="14.5703125" bestFit="1" customWidth="1"/>
    <col min="42" max="42" width="6.42578125" customWidth="1"/>
    <col min="43" max="43" width="2" customWidth="1"/>
    <col min="44" max="44" width="12.5703125" bestFit="1" customWidth="1"/>
    <col min="45" max="45" width="7.140625" customWidth="1"/>
    <col min="46" max="46" width="2" customWidth="1"/>
    <col min="47" max="47" width="13.28515625" bestFit="1" customWidth="1"/>
    <col min="48" max="48" width="8.140625" customWidth="1"/>
    <col min="49" max="49" width="14.28515625" bestFit="1" customWidth="1"/>
    <col min="50" max="50" width="15.5703125" bestFit="1" customWidth="1"/>
  </cols>
  <sheetData>
    <row r="1" spans="10:12" x14ac:dyDescent="0.25">
      <c r="J1" s="6" t="s">
        <v>15</v>
      </c>
      <c r="K1" s="6" t="s">
        <v>12</v>
      </c>
    </row>
    <row r="2" spans="10:12" x14ac:dyDescent="0.25">
      <c r="J2" s="6" t="s">
        <v>14</v>
      </c>
      <c r="K2" t="s">
        <v>16</v>
      </c>
      <c r="L2" t="s">
        <v>13</v>
      </c>
    </row>
    <row r="3" spans="10:12" x14ac:dyDescent="0.25">
      <c r="J3" s="7" t="s">
        <v>10</v>
      </c>
      <c r="K3" s="2">
        <v>0</v>
      </c>
      <c r="L3" s="2">
        <v>0</v>
      </c>
    </row>
    <row r="4" spans="10:12" x14ac:dyDescent="0.25">
      <c r="J4" s="7" t="s">
        <v>4</v>
      </c>
      <c r="K4" s="2">
        <v>349</v>
      </c>
      <c r="L4" s="2">
        <v>349</v>
      </c>
    </row>
    <row r="5" spans="10:12" x14ac:dyDescent="0.25">
      <c r="J5" s="7" t="s">
        <v>6</v>
      </c>
      <c r="K5" s="2">
        <v>463</v>
      </c>
      <c r="L5" s="2">
        <v>463</v>
      </c>
    </row>
    <row r="6" spans="10:12" x14ac:dyDescent="0.25">
      <c r="J6" s="7" t="s">
        <v>9</v>
      </c>
      <c r="K6" s="2">
        <v>150</v>
      </c>
      <c r="L6" s="2">
        <v>150</v>
      </c>
    </row>
    <row r="7" spans="10:12" x14ac:dyDescent="0.25">
      <c r="J7" s="7" t="s">
        <v>8</v>
      </c>
      <c r="K7" s="2">
        <v>194.99</v>
      </c>
      <c r="L7" s="2">
        <v>194.99</v>
      </c>
    </row>
    <row r="8" spans="10:12" x14ac:dyDescent="0.25">
      <c r="J8" s="7" t="s">
        <v>7</v>
      </c>
      <c r="K8" s="2">
        <v>124</v>
      </c>
      <c r="L8" s="2">
        <v>124</v>
      </c>
    </row>
    <row r="9" spans="10:12" x14ac:dyDescent="0.25">
      <c r="J9" s="7" t="s">
        <v>5</v>
      </c>
      <c r="K9" s="2">
        <v>161.9</v>
      </c>
      <c r="L9" s="2">
        <v>161.9</v>
      </c>
    </row>
    <row r="10" spans="10:12" x14ac:dyDescent="0.25">
      <c r="J10" s="7" t="s">
        <v>32</v>
      </c>
      <c r="K10" s="2">
        <v>63.4</v>
      </c>
      <c r="L10" s="2">
        <v>63.4</v>
      </c>
    </row>
    <row r="11" spans="10:12" x14ac:dyDescent="0.25">
      <c r="J11" s="7" t="s">
        <v>34</v>
      </c>
      <c r="K11" s="2">
        <v>0</v>
      </c>
      <c r="L11" s="2">
        <v>0</v>
      </c>
    </row>
    <row r="12" spans="10:12" x14ac:dyDescent="0.25">
      <c r="J12" s="7" t="s">
        <v>13</v>
      </c>
      <c r="K12" s="2">
        <v>1506.2900000000002</v>
      </c>
      <c r="L12" s="2">
        <v>1506.2900000000002</v>
      </c>
    </row>
  </sheetData>
  <pageMargins left="0.7" right="0.7" top="0.78740157499999996" bottom="0.78740157499999996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K57"/>
  <sheetViews>
    <sheetView tabSelected="1" workbookViewId="0">
      <selection activeCell="J10" sqref="J10"/>
    </sheetView>
  </sheetViews>
  <sheetFormatPr baseColWidth="10" defaultRowHeight="15" x14ac:dyDescent="0.25"/>
  <cols>
    <col min="1" max="1" width="2.7109375" style="13" bestFit="1" customWidth="1"/>
    <col min="2" max="2" width="16.85546875" style="15" customWidth="1"/>
    <col min="3" max="4" width="11.42578125" style="11"/>
    <col min="5" max="5" width="46.28515625" style="11" customWidth="1"/>
    <col min="6" max="6" width="11.42578125" style="2"/>
    <col min="7" max="7" width="46" customWidth="1"/>
    <col min="10" max="10" width="22.42578125" bestFit="1" customWidth="1"/>
    <col min="11" max="11" width="16.42578125" customWidth="1"/>
  </cols>
  <sheetData>
    <row r="1" spans="1:11" x14ac:dyDescent="0.25">
      <c r="A1" s="12" t="s">
        <v>18</v>
      </c>
      <c r="B1" s="14" t="s">
        <v>17</v>
      </c>
      <c r="C1" s="9" t="s">
        <v>3</v>
      </c>
      <c r="D1" s="10" t="s">
        <v>0</v>
      </c>
      <c r="E1" s="10" t="s">
        <v>11</v>
      </c>
      <c r="F1" s="4" t="s">
        <v>1</v>
      </c>
      <c r="G1" s="3" t="s">
        <v>2</v>
      </c>
    </row>
    <row r="2" spans="1:11" x14ac:dyDescent="0.25">
      <c r="A2" s="13">
        <v>1</v>
      </c>
      <c r="B2" s="15" t="s">
        <v>35</v>
      </c>
      <c r="C2" s="11" t="s">
        <v>45</v>
      </c>
      <c r="D2" s="11" t="s">
        <v>45</v>
      </c>
      <c r="E2" s="11" t="s">
        <v>26</v>
      </c>
      <c r="F2" s="2">
        <v>194.99</v>
      </c>
      <c r="G2" t="s">
        <v>21</v>
      </c>
    </row>
    <row r="3" spans="1:11" x14ac:dyDescent="0.25">
      <c r="A3" s="13">
        <v>1</v>
      </c>
      <c r="B3" s="15" t="s">
        <v>35</v>
      </c>
      <c r="C3" s="11" t="s">
        <v>45</v>
      </c>
      <c r="D3" s="11" t="s">
        <v>45</v>
      </c>
      <c r="E3" s="11" t="s">
        <v>27</v>
      </c>
      <c r="F3" s="2">
        <v>349</v>
      </c>
      <c r="G3" t="s">
        <v>20</v>
      </c>
      <c r="J3" s="6" t="s">
        <v>14</v>
      </c>
      <c r="K3" t="s">
        <v>15</v>
      </c>
    </row>
    <row r="4" spans="1:11" x14ac:dyDescent="0.25">
      <c r="A4" s="13">
        <v>1</v>
      </c>
      <c r="B4" s="15" t="s">
        <v>35</v>
      </c>
      <c r="C4" s="11" t="s">
        <v>45</v>
      </c>
      <c r="D4" s="11" t="s">
        <v>45</v>
      </c>
      <c r="E4" s="11" t="s">
        <v>28</v>
      </c>
      <c r="F4" s="2">
        <v>174.9</v>
      </c>
      <c r="G4" t="s">
        <v>22</v>
      </c>
      <c r="J4" s="7">
        <v>1</v>
      </c>
      <c r="K4" s="16">
        <v>1568.04</v>
      </c>
    </row>
    <row r="5" spans="1:11" x14ac:dyDescent="0.25">
      <c r="A5" s="13">
        <v>1</v>
      </c>
      <c r="B5" s="15" t="s">
        <v>35</v>
      </c>
      <c r="C5" s="11" t="s">
        <v>45</v>
      </c>
      <c r="D5" s="11" t="s">
        <v>45</v>
      </c>
      <c r="E5" s="11" t="s">
        <v>29</v>
      </c>
      <c r="F5" s="2">
        <v>496</v>
      </c>
      <c r="G5" t="s">
        <v>23</v>
      </c>
      <c r="J5" s="7">
        <v>2</v>
      </c>
      <c r="K5" s="16">
        <v>1527.7899999999997</v>
      </c>
    </row>
    <row r="6" spans="1:11" x14ac:dyDescent="0.25">
      <c r="A6" s="13">
        <v>1</v>
      </c>
      <c r="B6" s="15" t="s">
        <v>35</v>
      </c>
      <c r="C6" s="11" t="s">
        <v>45</v>
      </c>
      <c r="D6" s="11" t="s">
        <v>45</v>
      </c>
      <c r="E6" s="11" t="s">
        <v>30</v>
      </c>
      <c r="F6" s="2">
        <v>128</v>
      </c>
      <c r="G6" t="s">
        <v>24</v>
      </c>
      <c r="J6" s="7">
        <v>3</v>
      </c>
      <c r="K6" s="16">
        <v>1535.7899999999997</v>
      </c>
    </row>
    <row r="7" spans="1:11" x14ac:dyDescent="0.25">
      <c r="A7" s="13">
        <v>1</v>
      </c>
      <c r="B7" s="15" t="s">
        <v>35</v>
      </c>
      <c r="C7" s="11" t="s">
        <v>45</v>
      </c>
      <c r="D7" s="11" t="s">
        <v>45</v>
      </c>
      <c r="E7" s="11" t="s">
        <v>31</v>
      </c>
      <c r="F7" s="2">
        <v>160.25</v>
      </c>
      <c r="G7" t="s">
        <v>25</v>
      </c>
      <c r="J7" s="7">
        <v>4</v>
      </c>
      <c r="K7" s="16">
        <v>1509.9399999999998</v>
      </c>
    </row>
    <row r="8" spans="1:11" x14ac:dyDescent="0.25">
      <c r="A8" s="13">
        <v>1</v>
      </c>
      <c r="B8" s="15" t="s">
        <v>35</v>
      </c>
      <c r="C8" s="11" t="s">
        <v>45</v>
      </c>
      <c r="D8" s="11" t="s">
        <v>45</v>
      </c>
      <c r="E8" s="11" t="s">
        <v>36</v>
      </c>
      <c r="F8" s="2">
        <v>64.900000000000006</v>
      </c>
      <c r="G8" t="s">
        <v>33</v>
      </c>
      <c r="J8" s="7">
        <v>5</v>
      </c>
      <c r="K8" s="16">
        <v>1512.79</v>
      </c>
    </row>
    <row r="9" spans="1:11" x14ac:dyDescent="0.25">
      <c r="A9" s="13">
        <v>2</v>
      </c>
      <c r="B9" s="15" t="s">
        <v>37</v>
      </c>
      <c r="C9" s="11" t="s">
        <v>45</v>
      </c>
      <c r="D9" s="11" t="s">
        <v>45</v>
      </c>
      <c r="E9" s="11" t="s">
        <v>26</v>
      </c>
      <c r="F9" s="2">
        <v>194.99</v>
      </c>
      <c r="G9" t="s">
        <v>21</v>
      </c>
      <c r="J9" s="7">
        <v>6</v>
      </c>
      <c r="K9" s="16">
        <v>1506.29</v>
      </c>
    </row>
    <row r="10" spans="1:11" x14ac:dyDescent="0.25">
      <c r="A10" s="13">
        <v>2</v>
      </c>
      <c r="B10" s="15" t="s">
        <v>37</v>
      </c>
      <c r="C10" s="11" t="s">
        <v>45</v>
      </c>
      <c r="D10" s="11" t="s">
        <v>45</v>
      </c>
      <c r="E10" s="11" t="s">
        <v>27</v>
      </c>
      <c r="F10" s="2">
        <v>349</v>
      </c>
      <c r="G10" t="s">
        <v>20</v>
      </c>
      <c r="J10" s="7">
        <v>7</v>
      </c>
      <c r="K10" s="16">
        <v>1506.29</v>
      </c>
    </row>
    <row r="11" spans="1:11" x14ac:dyDescent="0.25">
      <c r="A11" s="13">
        <v>2</v>
      </c>
      <c r="B11" s="15" t="s">
        <v>37</v>
      </c>
      <c r="C11" s="11" t="s">
        <v>45</v>
      </c>
      <c r="D11" s="11" t="s">
        <v>45</v>
      </c>
      <c r="E11" s="11" t="s">
        <v>28</v>
      </c>
      <c r="F11" s="2">
        <v>174.9</v>
      </c>
      <c r="G11" t="s">
        <v>22</v>
      </c>
      <c r="J11" s="7">
        <v>8</v>
      </c>
      <c r="K11" s="16">
        <v>625.09999999999991</v>
      </c>
    </row>
    <row r="12" spans="1:11" x14ac:dyDescent="0.25">
      <c r="A12" s="13">
        <v>2</v>
      </c>
      <c r="B12" s="15" t="s">
        <v>37</v>
      </c>
      <c r="C12" s="11" t="s">
        <v>45</v>
      </c>
      <c r="D12" s="11" t="s">
        <v>45</v>
      </c>
      <c r="E12" s="11" t="s">
        <v>29</v>
      </c>
      <c r="F12" s="2">
        <v>463</v>
      </c>
      <c r="G12" t="s">
        <v>23</v>
      </c>
      <c r="J12" s="7" t="s">
        <v>19</v>
      </c>
      <c r="K12" s="16"/>
    </row>
    <row r="13" spans="1:11" x14ac:dyDescent="0.25">
      <c r="A13" s="13">
        <v>2</v>
      </c>
      <c r="B13" s="15" t="s">
        <v>37</v>
      </c>
      <c r="C13" s="11" t="s">
        <v>45</v>
      </c>
      <c r="D13" s="11" t="s">
        <v>45</v>
      </c>
      <c r="E13" s="11" t="s">
        <v>30</v>
      </c>
      <c r="F13" s="2">
        <v>122.5</v>
      </c>
      <c r="G13" t="s">
        <v>24</v>
      </c>
      <c r="J13" s="7" t="s">
        <v>13</v>
      </c>
      <c r="K13" s="16">
        <v>11292.03</v>
      </c>
    </row>
    <row r="14" spans="1:11" x14ac:dyDescent="0.25">
      <c r="A14" s="13">
        <v>2</v>
      </c>
      <c r="B14" s="15" t="s">
        <v>37</v>
      </c>
      <c r="C14" s="11" t="s">
        <v>45</v>
      </c>
      <c r="D14" s="11" t="s">
        <v>45</v>
      </c>
      <c r="E14" s="11" t="s">
        <v>31</v>
      </c>
      <c r="F14" s="2">
        <v>159.1</v>
      </c>
      <c r="G14" t="s">
        <v>25</v>
      </c>
    </row>
    <row r="15" spans="1:11" x14ac:dyDescent="0.25">
      <c r="A15" s="13">
        <v>2</v>
      </c>
      <c r="B15" s="15" t="s">
        <v>37</v>
      </c>
      <c r="C15" s="11" t="s">
        <v>45</v>
      </c>
      <c r="D15" s="11" t="s">
        <v>45</v>
      </c>
      <c r="E15" s="11" t="s">
        <v>36</v>
      </c>
      <c r="F15" s="2">
        <v>64.3</v>
      </c>
      <c r="G15" t="s">
        <v>33</v>
      </c>
    </row>
    <row r="16" spans="1:11" x14ac:dyDescent="0.25">
      <c r="A16" s="13">
        <v>3</v>
      </c>
      <c r="B16" s="15" t="s">
        <v>38</v>
      </c>
      <c r="C16" s="11" t="s">
        <v>45</v>
      </c>
      <c r="D16" s="11" t="s">
        <v>45</v>
      </c>
      <c r="E16" s="11" t="s">
        <v>26</v>
      </c>
      <c r="F16" s="2">
        <v>194.99</v>
      </c>
      <c r="G16" t="s">
        <v>21</v>
      </c>
    </row>
    <row r="17" spans="1:7" x14ac:dyDescent="0.25">
      <c r="A17" s="13">
        <v>3</v>
      </c>
      <c r="B17" s="15" t="s">
        <v>38</v>
      </c>
      <c r="C17" s="11" t="s">
        <v>45</v>
      </c>
      <c r="D17" s="11" t="s">
        <v>45</v>
      </c>
      <c r="E17" s="11" t="s">
        <v>27</v>
      </c>
      <c r="F17" s="2">
        <v>349</v>
      </c>
      <c r="G17" t="s">
        <v>20</v>
      </c>
    </row>
    <row r="18" spans="1:7" x14ac:dyDescent="0.25">
      <c r="A18" s="13">
        <v>3</v>
      </c>
      <c r="B18" s="15" t="s">
        <v>38</v>
      </c>
      <c r="C18" s="11" t="s">
        <v>45</v>
      </c>
      <c r="D18" s="11" t="s">
        <v>45</v>
      </c>
      <c r="E18" s="11" t="s">
        <v>28</v>
      </c>
      <c r="F18" s="2">
        <v>174.9</v>
      </c>
      <c r="G18" t="s">
        <v>22</v>
      </c>
    </row>
    <row r="19" spans="1:7" x14ac:dyDescent="0.25">
      <c r="A19" s="13">
        <v>3</v>
      </c>
      <c r="B19" s="15" t="s">
        <v>38</v>
      </c>
      <c r="C19" s="11" t="s">
        <v>45</v>
      </c>
      <c r="D19" s="11" t="s">
        <v>45</v>
      </c>
      <c r="E19" s="11" t="s">
        <v>29</v>
      </c>
      <c r="F19" s="2">
        <v>463</v>
      </c>
      <c r="G19" t="s">
        <v>23</v>
      </c>
    </row>
    <row r="20" spans="1:7" x14ac:dyDescent="0.25">
      <c r="A20" s="13">
        <v>3</v>
      </c>
      <c r="B20" s="15" t="s">
        <v>38</v>
      </c>
      <c r="C20" s="11" t="s">
        <v>45</v>
      </c>
      <c r="D20" s="11" t="s">
        <v>45</v>
      </c>
      <c r="E20" s="11" t="s">
        <v>30</v>
      </c>
      <c r="F20" s="2">
        <v>131</v>
      </c>
      <c r="G20" t="s">
        <v>24</v>
      </c>
    </row>
    <row r="21" spans="1:7" x14ac:dyDescent="0.25">
      <c r="A21" s="13">
        <v>3</v>
      </c>
      <c r="B21" s="15" t="s">
        <v>38</v>
      </c>
      <c r="C21" s="11" t="s">
        <v>45</v>
      </c>
      <c r="D21" s="11" t="s">
        <v>45</v>
      </c>
      <c r="E21" s="11" t="s">
        <v>31</v>
      </c>
      <c r="F21" s="2">
        <v>158.6</v>
      </c>
      <c r="G21" t="s">
        <v>25</v>
      </c>
    </row>
    <row r="22" spans="1:7" x14ac:dyDescent="0.25">
      <c r="A22" s="13">
        <v>3</v>
      </c>
      <c r="B22" s="15" t="s">
        <v>38</v>
      </c>
      <c r="C22" s="11" t="s">
        <v>45</v>
      </c>
      <c r="D22" s="11" t="s">
        <v>45</v>
      </c>
      <c r="E22" s="11" t="s">
        <v>36</v>
      </c>
      <c r="F22" s="2">
        <v>64.3</v>
      </c>
      <c r="G22" t="s">
        <v>33</v>
      </c>
    </row>
    <row r="23" spans="1:7" x14ac:dyDescent="0.25">
      <c r="A23" s="13">
        <v>4</v>
      </c>
      <c r="B23" s="15" t="s">
        <v>39</v>
      </c>
      <c r="C23" s="11" t="s">
        <v>45</v>
      </c>
      <c r="D23" s="11" t="s">
        <v>45</v>
      </c>
      <c r="E23" s="11" t="s">
        <v>26</v>
      </c>
      <c r="F23" s="2">
        <v>194.99</v>
      </c>
      <c r="G23" t="s">
        <v>21</v>
      </c>
    </row>
    <row r="24" spans="1:7" x14ac:dyDescent="0.25">
      <c r="A24" s="13">
        <v>4</v>
      </c>
      <c r="B24" s="15" t="s">
        <v>39</v>
      </c>
      <c r="C24" s="11" t="s">
        <v>45</v>
      </c>
      <c r="D24" s="11" t="s">
        <v>45</v>
      </c>
      <c r="E24" s="11" t="s">
        <v>27</v>
      </c>
      <c r="F24" s="2">
        <v>349</v>
      </c>
      <c r="G24" t="s">
        <v>20</v>
      </c>
    </row>
    <row r="25" spans="1:7" x14ac:dyDescent="0.25">
      <c r="A25" s="13">
        <v>4</v>
      </c>
      <c r="B25" s="15" t="s">
        <v>39</v>
      </c>
      <c r="C25" s="11" t="s">
        <v>45</v>
      </c>
      <c r="D25" s="11" t="s">
        <v>45</v>
      </c>
      <c r="E25" s="11" t="s">
        <v>28</v>
      </c>
      <c r="F25" s="2">
        <v>161.9</v>
      </c>
      <c r="G25" t="s">
        <v>22</v>
      </c>
    </row>
    <row r="26" spans="1:7" x14ac:dyDescent="0.25">
      <c r="A26" s="13">
        <v>4</v>
      </c>
      <c r="B26" s="15" t="s">
        <v>39</v>
      </c>
      <c r="C26" s="11" t="s">
        <v>45</v>
      </c>
      <c r="D26" s="11" t="s">
        <v>45</v>
      </c>
      <c r="E26" s="11" t="s">
        <v>29</v>
      </c>
      <c r="F26" s="2">
        <v>463</v>
      </c>
      <c r="G26" t="s">
        <v>23</v>
      </c>
    </row>
    <row r="27" spans="1:7" x14ac:dyDescent="0.25">
      <c r="A27" s="13">
        <v>4</v>
      </c>
      <c r="B27" s="15" t="s">
        <v>39</v>
      </c>
      <c r="C27" s="11" t="s">
        <v>45</v>
      </c>
      <c r="D27" s="11" t="s">
        <v>45</v>
      </c>
      <c r="E27" s="11" t="s">
        <v>30</v>
      </c>
      <c r="F27" s="2">
        <v>127.6</v>
      </c>
      <c r="G27" t="s">
        <v>24</v>
      </c>
    </row>
    <row r="28" spans="1:7" x14ac:dyDescent="0.25">
      <c r="A28" s="13">
        <v>4</v>
      </c>
      <c r="B28" s="15" t="s">
        <v>39</v>
      </c>
      <c r="C28" s="11" t="s">
        <v>45</v>
      </c>
      <c r="D28" s="11" t="s">
        <v>45</v>
      </c>
      <c r="E28" s="11" t="s">
        <v>31</v>
      </c>
      <c r="F28" s="2">
        <v>150</v>
      </c>
      <c r="G28" t="s">
        <v>25</v>
      </c>
    </row>
    <row r="29" spans="1:7" x14ac:dyDescent="0.25">
      <c r="A29" s="13">
        <v>4</v>
      </c>
      <c r="B29" s="15" t="s">
        <v>39</v>
      </c>
      <c r="C29" s="11" t="s">
        <v>45</v>
      </c>
      <c r="D29" s="11" t="s">
        <v>45</v>
      </c>
      <c r="E29" s="11" t="s">
        <v>36</v>
      </c>
      <c r="F29" s="2">
        <v>63.45</v>
      </c>
      <c r="G29" t="s">
        <v>33</v>
      </c>
    </row>
    <row r="30" spans="1:7" x14ac:dyDescent="0.25">
      <c r="A30" s="13">
        <v>5</v>
      </c>
      <c r="B30" s="15" t="s">
        <v>40</v>
      </c>
      <c r="C30" s="11" t="s">
        <v>45</v>
      </c>
      <c r="D30" s="11" t="s">
        <v>45</v>
      </c>
      <c r="E30" s="11" t="s">
        <v>26</v>
      </c>
      <c r="F30" s="2">
        <v>194.99</v>
      </c>
      <c r="G30" t="s">
        <v>21</v>
      </c>
    </row>
    <row r="31" spans="1:7" x14ac:dyDescent="0.25">
      <c r="A31" s="13">
        <v>5</v>
      </c>
      <c r="B31" s="15" t="s">
        <v>40</v>
      </c>
      <c r="C31" s="11" t="s">
        <v>45</v>
      </c>
      <c r="D31" s="11" t="s">
        <v>45</v>
      </c>
      <c r="E31" s="11" t="s">
        <v>27</v>
      </c>
      <c r="F31" s="2">
        <v>349</v>
      </c>
      <c r="G31" t="s">
        <v>20</v>
      </c>
    </row>
    <row r="32" spans="1:7" x14ac:dyDescent="0.25">
      <c r="A32" s="13">
        <v>5</v>
      </c>
      <c r="B32" s="15" t="s">
        <v>40</v>
      </c>
      <c r="C32" s="11" t="s">
        <v>45</v>
      </c>
      <c r="D32" s="11" t="s">
        <v>45</v>
      </c>
      <c r="E32" s="11" t="s">
        <v>28</v>
      </c>
      <c r="F32" s="2">
        <v>161.9</v>
      </c>
      <c r="G32" t="s">
        <v>22</v>
      </c>
    </row>
    <row r="33" spans="1:7" x14ac:dyDescent="0.25">
      <c r="A33" s="13">
        <v>5</v>
      </c>
      <c r="B33" s="15" t="s">
        <v>40</v>
      </c>
      <c r="C33" s="11" t="s">
        <v>45</v>
      </c>
      <c r="D33" s="11" t="s">
        <v>45</v>
      </c>
      <c r="E33" s="11" t="s">
        <v>29</v>
      </c>
      <c r="F33" s="2">
        <v>463</v>
      </c>
      <c r="G33" t="s">
        <v>23</v>
      </c>
    </row>
    <row r="34" spans="1:7" x14ac:dyDescent="0.25">
      <c r="A34" s="13">
        <v>5</v>
      </c>
      <c r="B34" s="15" t="s">
        <v>40</v>
      </c>
      <c r="C34" s="11" t="s">
        <v>45</v>
      </c>
      <c r="D34" s="11" t="s">
        <v>45</v>
      </c>
      <c r="E34" s="11" t="s">
        <v>30</v>
      </c>
      <c r="F34" s="2">
        <v>129</v>
      </c>
      <c r="G34" t="s">
        <v>24</v>
      </c>
    </row>
    <row r="35" spans="1:7" x14ac:dyDescent="0.25">
      <c r="A35" s="13">
        <v>5</v>
      </c>
      <c r="B35" s="15" t="s">
        <v>40</v>
      </c>
      <c r="C35" s="11" t="s">
        <v>45</v>
      </c>
      <c r="D35" s="11" t="s">
        <v>45</v>
      </c>
      <c r="E35" s="11" t="s">
        <v>31</v>
      </c>
      <c r="F35" s="2">
        <v>150</v>
      </c>
      <c r="G35" t="s">
        <v>25</v>
      </c>
    </row>
    <row r="36" spans="1:7" x14ac:dyDescent="0.25">
      <c r="A36" s="13">
        <v>5</v>
      </c>
      <c r="B36" s="15" t="s">
        <v>40</v>
      </c>
      <c r="C36" s="11" t="s">
        <v>45</v>
      </c>
      <c r="D36" s="11" t="s">
        <v>45</v>
      </c>
      <c r="E36" s="11" t="s">
        <v>36</v>
      </c>
      <c r="F36" s="2">
        <v>64.900000000000006</v>
      </c>
      <c r="G36" t="s">
        <v>33</v>
      </c>
    </row>
    <row r="37" spans="1:7" x14ac:dyDescent="0.25">
      <c r="A37" s="13">
        <v>6</v>
      </c>
      <c r="B37" s="15" t="s">
        <v>43</v>
      </c>
      <c r="C37" s="11" t="s">
        <v>45</v>
      </c>
      <c r="D37" s="11" t="s">
        <v>45</v>
      </c>
      <c r="E37" s="11" t="s">
        <v>26</v>
      </c>
      <c r="F37" s="2">
        <v>194.99</v>
      </c>
      <c r="G37" t="s">
        <v>21</v>
      </c>
    </row>
    <row r="38" spans="1:7" x14ac:dyDescent="0.25">
      <c r="A38" s="13">
        <v>6</v>
      </c>
      <c r="B38" s="15" t="s">
        <v>43</v>
      </c>
      <c r="C38" s="11" t="s">
        <v>45</v>
      </c>
      <c r="D38" s="11" t="s">
        <v>45</v>
      </c>
      <c r="E38" s="11" t="s">
        <v>27</v>
      </c>
      <c r="F38" s="2">
        <v>349</v>
      </c>
      <c r="G38" t="s">
        <v>20</v>
      </c>
    </row>
    <row r="39" spans="1:7" x14ac:dyDescent="0.25">
      <c r="A39" s="13">
        <v>6</v>
      </c>
      <c r="B39" s="15" t="s">
        <v>43</v>
      </c>
      <c r="C39" s="11" t="s">
        <v>45</v>
      </c>
      <c r="D39" s="11" t="s">
        <v>45</v>
      </c>
      <c r="E39" s="11" t="s">
        <v>28</v>
      </c>
      <c r="F39" s="2">
        <v>161.9</v>
      </c>
      <c r="G39" t="s">
        <v>22</v>
      </c>
    </row>
    <row r="40" spans="1:7" x14ac:dyDescent="0.25">
      <c r="A40" s="13">
        <v>6</v>
      </c>
      <c r="B40" s="15" t="s">
        <v>43</v>
      </c>
      <c r="C40" s="11" t="s">
        <v>45</v>
      </c>
      <c r="D40" s="11" t="s">
        <v>45</v>
      </c>
      <c r="E40" s="11" t="s">
        <v>29</v>
      </c>
      <c r="F40" s="2">
        <v>463</v>
      </c>
      <c r="G40" t="s">
        <v>23</v>
      </c>
    </row>
    <row r="41" spans="1:7" x14ac:dyDescent="0.25">
      <c r="A41" s="13">
        <v>6</v>
      </c>
      <c r="B41" s="15" t="s">
        <v>43</v>
      </c>
      <c r="C41" s="11" t="s">
        <v>45</v>
      </c>
      <c r="D41" s="11" t="s">
        <v>45</v>
      </c>
      <c r="E41" s="11" t="s">
        <v>30</v>
      </c>
      <c r="F41" s="2">
        <v>124</v>
      </c>
      <c r="G41" t="s">
        <v>24</v>
      </c>
    </row>
    <row r="42" spans="1:7" x14ac:dyDescent="0.25">
      <c r="A42" s="13">
        <v>6</v>
      </c>
      <c r="B42" s="15" t="s">
        <v>43</v>
      </c>
      <c r="C42" s="11" t="s">
        <v>45</v>
      </c>
      <c r="D42" s="11" t="s">
        <v>45</v>
      </c>
      <c r="E42" s="11" t="s">
        <v>31</v>
      </c>
      <c r="F42" s="2">
        <v>150</v>
      </c>
      <c r="G42" t="s">
        <v>25</v>
      </c>
    </row>
    <row r="43" spans="1:7" x14ac:dyDescent="0.25">
      <c r="A43" s="13">
        <v>6</v>
      </c>
      <c r="B43" s="15" t="s">
        <v>43</v>
      </c>
      <c r="C43" s="11" t="s">
        <v>45</v>
      </c>
      <c r="D43" s="11" t="s">
        <v>45</v>
      </c>
      <c r="E43" s="11" t="s">
        <v>36</v>
      </c>
      <c r="F43" s="2">
        <v>63.4</v>
      </c>
      <c r="G43" t="s">
        <v>33</v>
      </c>
    </row>
    <row r="44" spans="1:7" x14ac:dyDescent="0.25">
      <c r="A44" s="13">
        <v>7</v>
      </c>
      <c r="B44" s="15" t="s">
        <v>44</v>
      </c>
      <c r="C44" s="11" t="s">
        <v>45</v>
      </c>
      <c r="D44" s="11" t="s">
        <v>45</v>
      </c>
      <c r="E44" s="11" t="s">
        <v>26</v>
      </c>
      <c r="F44" s="2">
        <v>194.99</v>
      </c>
      <c r="G44" t="s">
        <v>21</v>
      </c>
    </row>
    <row r="45" spans="1:7" x14ac:dyDescent="0.25">
      <c r="A45" s="13">
        <v>7</v>
      </c>
      <c r="B45" s="15" t="s">
        <v>44</v>
      </c>
      <c r="C45" s="11" t="s">
        <v>45</v>
      </c>
      <c r="D45" s="11" t="s">
        <v>45</v>
      </c>
      <c r="E45" s="11" t="s">
        <v>27</v>
      </c>
      <c r="F45" s="2">
        <v>349</v>
      </c>
      <c r="G45" t="s">
        <v>20</v>
      </c>
    </row>
    <row r="46" spans="1:7" x14ac:dyDescent="0.25">
      <c r="A46" s="13">
        <v>7</v>
      </c>
      <c r="B46" s="15" t="s">
        <v>44</v>
      </c>
      <c r="C46" s="11" t="s">
        <v>45</v>
      </c>
      <c r="D46" s="11" t="s">
        <v>45</v>
      </c>
      <c r="E46" s="11" t="s">
        <v>28</v>
      </c>
      <c r="F46" s="2">
        <v>161.9</v>
      </c>
      <c r="G46" t="s">
        <v>22</v>
      </c>
    </row>
    <row r="47" spans="1:7" x14ac:dyDescent="0.25">
      <c r="A47" s="13">
        <v>7</v>
      </c>
      <c r="B47" s="15" t="s">
        <v>44</v>
      </c>
      <c r="C47" s="11" t="s">
        <v>45</v>
      </c>
      <c r="D47" s="11" t="s">
        <v>45</v>
      </c>
      <c r="E47" s="11" t="s">
        <v>29</v>
      </c>
      <c r="F47" s="2">
        <v>463</v>
      </c>
      <c r="G47" t="s">
        <v>23</v>
      </c>
    </row>
    <row r="48" spans="1:7" x14ac:dyDescent="0.25">
      <c r="A48" s="13">
        <v>7</v>
      </c>
      <c r="B48" s="15" t="s">
        <v>44</v>
      </c>
      <c r="C48" s="11" t="s">
        <v>45</v>
      </c>
      <c r="D48" s="11" t="s">
        <v>45</v>
      </c>
      <c r="E48" s="11" t="s">
        <v>30</v>
      </c>
      <c r="F48" s="2">
        <v>124</v>
      </c>
      <c r="G48" t="s">
        <v>24</v>
      </c>
    </row>
    <row r="49" spans="1:7" x14ac:dyDescent="0.25">
      <c r="A49" s="13">
        <v>7</v>
      </c>
      <c r="B49" s="15" t="s">
        <v>44</v>
      </c>
      <c r="C49" s="11" t="s">
        <v>45</v>
      </c>
      <c r="D49" s="11" t="s">
        <v>45</v>
      </c>
      <c r="E49" s="11" t="s">
        <v>31</v>
      </c>
      <c r="F49" s="2">
        <v>150</v>
      </c>
      <c r="G49" t="s">
        <v>25</v>
      </c>
    </row>
    <row r="50" spans="1:7" x14ac:dyDescent="0.25">
      <c r="A50" s="13">
        <v>7</v>
      </c>
      <c r="B50" s="15" t="s">
        <v>44</v>
      </c>
      <c r="C50" s="11" t="s">
        <v>45</v>
      </c>
      <c r="D50" s="11" t="s">
        <v>45</v>
      </c>
      <c r="E50" s="11" t="s">
        <v>36</v>
      </c>
      <c r="F50" s="2">
        <v>63.4</v>
      </c>
      <c r="G50" t="s">
        <v>33</v>
      </c>
    </row>
    <row r="51" spans="1:7" x14ac:dyDescent="0.25">
      <c r="A51" s="13">
        <v>8</v>
      </c>
      <c r="B51" s="15" t="s">
        <v>47</v>
      </c>
      <c r="C51" s="11" t="s">
        <v>16</v>
      </c>
      <c r="D51" s="11" t="s">
        <v>48</v>
      </c>
      <c r="E51" s="11" t="s">
        <v>49</v>
      </c>
      <c r="F51" s="2">
        <v>71.7</v>
      </c>
      <c r="G51" t="s">
        <v>50</v>
      </c>
    </row>
    <row r="52" spans="1:7" x14ac:dyDescent="0.25">
      <c r="A52" s="13">
        <v>8</v>
      </c>
      <c r="B52" s="15" t="s">
        <v>47</v>
      </c>
      <c r="C52" s="11" t="s">
        <v>16</v>
      </c>
      <c r="D52" s="11" t="s">
        <v>51</v>
      </c>
      <c r="E52" s="11" t="s">
        <v>52</v>
      </c>
      <c r="F52" s="2">
        <v>159</v>
      </c>
      <c r="G52" t="s">
        <v>53</v>
      </c>
    </row>
    <row r="53" spans="1:7" x14ac:dyDescent="0.25">
      <c r="A53" s="13">
        <v>8</v>
      </c>
      <c r="B53" s="15" t="s">
        <v>47</v>
      </c>
      <c r="C53" s="11" t="s">
        <v>16</v>
      </c>
      <c r="D53" s="11" t="s">
        <v>5</v>
      </c>
      <c r="E53" s="11" t="s">
        <v>54</v>
      </c>
      <c r="F53" s="2">
        <v>67.900000000000006</v>
      </c>
      <c r="G53" t="s">
        <v>55</v>
      </c>
    </row>
    <row r="54" spans="1:7" x14ac:dyDescent="0.25">
      <c r="A54" s="13">
        <v>8</v>
      </c>
      <c r="B54" s="15" t="s">
        <v>47</v>
      </c>
      <c r="C54" s="11" t="s">
        <v>16</v>
      </c>
      <c r="D54" s="11" t="s">
        <v>56</v>
      </c>
      <c r="E54" s="11" t="s">
        <v>57</v>
      </c>
      <c r="F54" s="2">
        <v>169.9</v>
      </c>
      <c r="G54" t="s">
        <v>58</v>
      </c>
    </row>
    <row r="55" spans="1:7" x14ac:dyDescent="0.25">
      <c r="A55" s="13">
        <v>8</v>
      </c>
      <c r="B55" s="15" t="s">
        <v>47</v>
      </c>
      <c r="C55" s="11" t="s">
        <v>16</v>
      </c>
      <c r="D55" s="11" t="s">
        <v>59</v>
      </c>
      <c r="E55" s="11" t="s">
        <v>60</v>
      </c>
      <c r="F55" s="2">
        <v>45.9</v>
      </c>
      <c r="G55" t="s">
        <v>61</v>
      </c>
    </row>
    <row r="56" spans="1:7" x14ac:dyDescent="0.25">
      <c r="A56" s="13">
        <v>8</v>
      </c>
      <c r="B56" s="15" t="s">
        <v>47</v>
      </c>
      <c r="C56" s="11" t="s">
        <v>16</v>
      </c>
      <c r="D56" s="11" t="s">
        <v>62</v>
      </c>
      <c r="E56" s="11" t="s">
        <v>63</v>
      </c>
      <c r="F56" s="2">
        <v>71.900000000000006</v>
      </c>
      <c r="G56" t="s">
        <v>64</v>
      </c>
    </row>
    <row r="57" spans="1:7" x14ac:dyDescent="0.25">
      <c r="A57" s="13">
        <v>8</v>
      </c>
      <c r="B57" s="15" t="s">
        <v>47</v>
      </c>
      <c r="C57" s="11" t="s">
        <v>16</v>
      </c>
      <c r="D57" s="11" t="s">
        <v>65</v>
      </c>
      <c r="E57" s="11" t="s">
        <v>66</v>
      </c>
      <c r="F57" s="2">
        <v>38.799999999999997</v>
      </c>
      <c r="G57" t="s">
        <v>67</v>
      </c>
    </row>
  </sheetData>
  <conditionalFormatting sqref="F1">
    <cfRule type="cellIs" dxfId="0" priority="1" operator="equal">
      <formula>"x"</formula>
    </cfRule>
  </conditionalFormatting>
  <pageMargins left="0.7" right="0.7" top="0.78740157499999996" bottom="0.78740157499999996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data</vt:lpstr>
      <vt:lpstr>totals</vt:lpstr>
      <vt:lpstr>history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Tester Usero</dc:creator>
  <cp:lastModifiedBy>Tester Usero</cp:lastModifiedBy>
  <dcterms:created xsi:type="dcterms:W3CDTF">2018-09-01T12:10:47Z</dcterms:created>
  <dcterms:modified xsi:type="dcterms:W3CDTF">2020-07-04T14:22:32Z</dcterms:modified>
</cp:coreProperties>
</file>